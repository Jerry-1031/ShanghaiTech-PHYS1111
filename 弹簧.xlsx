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上科大\大一上\物理实验\"/>
    </mc:Choice>
  </mc:AlternateContent>
  <xr:revisionPtr revIDLastSave="0" documentId="13_ncr:1_{314542F9-7380-4E9F-B358-C71BF8727176}" xr6:coauthVersionLast="47" xr6:coauthVersionMax="47" xr10:uidLastSave="{00000000-0000-0000-0000-000000000000}"/>
  <bookViews>
    <workbookView xWindow="-110" yWindow="-110" windowWidth="25820" windowHeight="15620" xr2:uid="{412B7DC8-FA1F-4C67-88BF-BF144A18082E}"/>
  </bookViews>
  <sheets>
    <sheet name="Sheet1" sheetId="1" r:id="rId1"/>
    <sheet name="Sheet2" sheetId="2" r:id="rId2"/>
  </sheets>
  <definedNames>
    <definedName name="_xlchart.v1.0" hidden="1">Sheet2!$C$1</definedName>
    <definedName name="_xlchart.v1.1" hidden="1">Sheet2!$C$2:$C$21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G7" i="2"/>
  <c r="F7" i="2"/>
  <c r="C24" i="2"/>
  <c r="C23" i="2"/>
  <c r="C2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<sst xmlns="http://schemas.openxmlformats.org/spreadsheetml/2006/main" count="12" uniqueCount="11">
  <si>
    <t>m(10^-3kg)</t>
    <phoneticPr fontId="1" type="noConversion"/>
  </si>
  <si>
    <t>F(10^-3N)</t>
    <phoneticPr fontId="1" type="noConversion"/>
  </si>
  <si>
    <t>y_n(10^-3m)</t>
    <phoneticPr fontId="1" type="noConversion"/>
  </si>
  <si>
    <t>次数</t>
    <phoneticPr fontId="1" type="noConversion"/>
  </si>
  <si>
    <t>10T(s)</t>
    <phoneticPr fontId="1" type="noConversion"/>
  </si>
  <si>
    <t>T(s)</t>
    <phoneticPr fontId="1" type="noConversion"/>
  </si>
  <si>
    <t>平均</t>
    <phoneticPr fontId="1" type="noConversion"/>
  </si>
  <si>
    <t>方差</t>
    <phoneticPr fontId="1" type="noConversion"/>
  </si>
  <si>
    <t>标准差</t>
    <phoneticPr fontId="1" type="noConversion"/>
  </si>
  <si>
    <t>M_0(g)</t>
    <phoneticPr fontId="1" type="noConversion"/>
  </si>
  <si>
    <t>M(g)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</si>
</sst>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F-y</a:t>
            </a:r>
            <a:r>
              <a:rPr lang="zh-CN" altLang="en-US"/>
              <a:t>图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Sheet1!$A$2:$A$21</c:f>
              <c:numCache>
                <c:formatCode>General</c:formatCode>
                <c:ptCount val="20"/>
                <c:pt idx="0">
                  <c:v>278.92</c:v>
                </c:pt>
                <c:pt idx="1">
                  <c:v>284.33999999999997</c:v>
                </c:pt>
                <c:pt idx="2">
                  <c:v>290.06</c:v>
                </c:pt>
                <c:pt idx="3">
                  <c:v>295.76</c:v>
                </c:pt>
                <c:pt idx="4">
                  <c:v>301.3</c:v>
                </c:pt>
                <c:pt idx="5">
                  <c:v>306.98</c:v>
                </c:pt>
                <c:pt idx="6">
                  <c:v>312.68</c:v>
                </c:pt>
                <c:pt idx="7">
                  <c:v>318.16000000000003</c:v>
                </c:pt>
                <c:pt idx="8">
                  <c:v>323.82</c:v>
                </c:pt>
                <c:pt idx="9">
                  <c:v>329.5</c:v>
                </c:pt>
                <c:pt idx="10">
                  <c:v>329.46</c:v>
                </c:pt>
                <c:pt idx="11">
                  <c:v>323.83999999999997</c:v>
                </c:pt>
                <c:pt idx="12">
                  <c:v>318.24</c:v>
                </c:pt>
                <c:pt idx="13">
                  <c:v>312.76</c:v>
                </c:pt>
                <c:pt idx="14">
                  <c:v>307</c:v>
                </c:pt>
                <c:pt idx="15">
                  <c:v>301.32</c:v>
                </c:pt>
                <c:pt idx="16">
                  <c:v>295.8</c:v>
                </c:pt>
                <c:pt idx="17">
                  <c:v>290.12</c:v>
                </c:pt>
                <c:pt idx="18">
                  <c:v>284.5</c:v>
                </c:pt>
                <c:pt idx="19">
                  <c:v>278.92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0</c:v>
                </c:pt>
                <c:pt idx="1">
                  <c:v>9.7940000000000005</c:v>
                </c:pt>
                <c:pt idx="2">
                  <c:v>19.588000000000001</c:v>
                </c:pt>
                <c:pt idx="3">
                  <c:v>29.382000000000001</c:v>
                </c:pt>
                <c:pt idx="4">
                  <c:v>39.176000000000002</c:v>
                </c:pt>
                <c:pt idx="5">
                  <c:v>48.97</c:v>
                </c:pt>
                <c:pt idx="6">
                  <c:v>58.764000000000003</c:v>
                </c:pt>
                <c:pt idx="7">
                  <c:v>68.558000000000007</c:v>
                </c:pt>
                <c:pt idx="8">
                  <c:v>78.352000000000004</c:v>
                </c:pt>
                <c:pt idx="9">
                  <c:v>88.146000000000001</c:v>
                </c:pt>
                <c:pt idx="10">
                  <c:v>88.146000000000001</c:v>
                </c:pt>
                <c:pt idx="11">
                  <c:v>78.352000000000004</c:v>
                </c:pt>
                <c:pt idx="12">
                  <c:v>68.558000000000007</c:v>
                </c:pt>
                <c:pt idx="13">
                  <c:v>58.764000000000003</c:v>
                </c:pt>
                <c:pt idx="14">
                  <c:v>48.97</c:v>
                </c:pt>
                <c:pt idx="15">
                  <c:v>39.176000000000002</c:v>
                </c:pt>
                <c:pt idx="16">
                  <c:v>29.382000000000001</c:v>
                </c:pt>
                <c:pt idx="17">
                  <c:v>19.588000000000001</c:v>
                </c:pt>
                <c:pt idx="18">
                  <c:v>9.7940000000000005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66-4FF9-8B1F-85A980AF9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380367"/>
        <c:axId val="1533369327"/>
      </c:scatterChart>
      <c:valAx>
        <c:axId val="153338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弹簧长度</a:t>
                </a:r>
                <a:r>
                  <a:rPr lang="en-US" altLang="zh-CN"/>
                  <a:t>y(10^-3m)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3369327"/>
        <c:crosses val="autoZero"/>
        <c:crossBetween val="midCat"/>
      </c:valAx>
      <c:valAx>
        <c:axId val="153336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砝码重力</a:t>
                </a:r>
                <a:r>
                  <a:rPr lang="en-US" altLang="zh-CN"/>
                  <a:t>F(10^-3N)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338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等线" panose="02010600030101010101" pitchFamily="2" charset="-122"/>
              </a:rPr>
              <a:t>T-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等线" panose="02010600030101010101" pitchFamily="2" charset="-122"/>
              </a:rPr>
              <a:t>频数图</a:t>
            </a:r>
          </a:p>
        </cx:rich>
      </cx:tx>
    </cx:title>
    <cx:plotArea>
      <cx:plotAreaRegion>
        <cx:series layoutId="clusteredColumn" uniqueId="{61F3B661-5A62-4AF2-86AA-EA2C9E211299}">
          <cx:tx>
            <cx:txData>
              <cx:f>_xlchart.v1.0</cx:f>
              <cx:v>T(s)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等线" panose="02010600030101010101" pitchFamily="2" charset="-122"/>
                  </a:rPr>
                  <a:t>T(s)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等线" panose="02010600030101010101" pitchFamily="2" charset="-122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频数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等线" panose="02010600030101010101" pitchFamily="2" charset="-122"/>
                </a:rPr>
                <a:t>频数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422671</xdr:colOff>
      <xdr:row>3</xdr:row>
      <xdr:rowOff>112713</xdr:rowOff>
    </xdr:from>
    <xdr:to>
      <xdr:col>10</xdr:col>
      <xdr:colOff>382984</xdr:colOff>
      <xdr:row>18</xdr:row>
      <xdr:rowOff>177006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7604D73-4CB7-9E66-F6B1-B851151ED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347265</xdr:colOff>
      <xdr:row>8</xdr:row>
      <xdr:rowOff>148433</xdr:rowOff>
    </xdr:from>
    <xdr:to>
      <xdr:col>10</xdr:col>
      <xdr:colOff>307578</xdr:colOff>
      <xdr:row>24</xdr:row>
      <xdr:rowOff>34133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0839A75A-435B-6CB6-79CB-CF5AA7C94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0565" y="1570833"/>
              <a:ext cx="4583113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4428-FAB8-43E9-A612-3F0FBC6861D5}">
  <dimension ref="A1:C21"/>
  <sheetViews>
    <sheetView tabSelected="1" zoomScale="160" zoomScaleNormal="160" workbookViewId="0"/>
  </sheetViews>
  <sheetFormatPr defaultRowHeight="1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278.92</v>
      </c>
      <c r="B2">
        <v>0</v>
      </c>
      <c r="C2">
        <f>B2*9.794</f>
        <v>0</v>
      </c>
    </row>
    <row r="3" spans="1:3" x14ac:dyDescent="0.3">
      <c r="A3">
        <v>284.33999999999997</v>
      </c>
      <c r="B3">
        <v>1</v>
      </c>
      <c r="C3">
        <f t="shared" ref="C3:C21" si="0">B3*9.794</f>
        <v>9.7940000000000005</v>
      </c>
    </row>
    <row r="4" spans="1:3" x14ac:dyDescent="0.3">
      <c r="A4">
        <v>290.06</v>
      </c>
      <c r="B4">
        <v>2</v>
      </c>
      <c r="C4">
        <f t="shared" si="0"/>
        <v>19.588000000000001</v>
      </c>
    </row>
    <row r="5" spans="1:3" x14ac:dyDescent="0.3">
      <c r="A5">
        <v>295.76</v>
      </c>
      <c r="B5">
        <v>3</v>
      </c>
      <c r="C5">
        <f t="shared" si="0"/>
        <v>29.382000000000001</v>
      </c>
    </row>
    <row r="6" spans="1:3" x14ac:dyDescent="0.3">
      <c r="A6">
        <v>301.3</v>
      </c>
      <c r="B6">
        <v>4</v>
      </c>
      <c r="C6">
        <f t="shared" si="0"/>
        <v>39.176000000000002</v>
      </c>
    </row>
    <row r="7" spans="1:3" x14ac:dyDescent="0.3">
      <c r="A7">
        <v>306.98</v>
      </c>
      <c r="B7">
        <v>5</v>
      </c>
      <c r="C7">
        <f t="shared" si="0"/>
        <v>48.97</v>
      </c>
    </row>
    <row r="8" spans="1:3" x14ac:dyDescent="0.3">
      <c r="A8">
        <v>312.68</v>
      </c>
      <c r="B8">
        <v>6</v>
      </c>
      <c r="C8">
        <f t="shared" si="0"/>
        <v>58.764000000000003</v>
      </c>
    </row>
    <row r="9" spans="1:3" x14ac:dyDescent="0.3">
      <c r="A9">
        <v>318.16000000000003</v>
      </c>
      <c r="B9">
        <v>7</v>
      </c>
      <c r="C9">
        <f t="shared" si="0"/>
        <v>68.558000000000007</v>
      </c>
    </row>
    <row r="10" spans="1:3" x14ac:dyDescent="0.3">
      <c r="A10">
        <v>323.82</v>
      </c>
      <c r="B10">
        <v>8</v>
      </c>
      <c r="C10">
        <f t="shared" si="0"/>
        <v>78.352000000000004</v>
      </c>
    </row>
    <row r="11" spans="1:3" x14ac:dyDescent="0.3">
      <c r="A11">
        <v>329.5</v>
      </c>
      <c r="B11">
        <v>9</v>
      </c>
      <c r="C11">
        <f t="shared" si="0"/>
        <v>88.146000000000001</v>
      </c>
    </row>
    <row r="12" spans="1:3" x14ac:dyDescent="0.3">
      <c r="A12">
        <v>329.46</v>
      </c>
      <c r="B12">
        <v>9</v>
      </c>
      <c r="C12">
        <f t="shared" si="0"/>
        <v>88.146000000000001</v>
      </c>
    </row>
    <row r="13" spans="1:3" x14ac:dyDescent="0.3">
      <c r="A13">
        <v>323.83999999999997</v>
      </c>
      <c r="B13">
        <v>8</v>
      </c>
      <c r="C13">
        <f t="shared" si="0"/>
        <v>78.352000000000004</v>
      </c>
    </row>
    <row r="14" spans="1:3" x14ac:dyDescent="0.3">
      <c r="A14">
        <v>318.24</v>
      </c>
      <c r="B14">
        <v>7</v>
      </c>
      <c r="C14">
        <f t="shared" si="0"/>
        <v>68.558000000000007</v>
      </c>
    </row>
    <row r="15" spans="1:3" x14ac:dyDescent="0.3">
      <c r="A15">
        <v>312.76</v>
      </c>
      <c r="B15">
        <v>6</v>
      </c>
      <c r="C15">
        <f t="shared" si="0"/>
        <v>58.764000000000003</v>
      </c>
    </row>
    <row r="16" spans="1:3" x14ac:dyDescent="0.3">
      <c r="A16">
        <v>307</v>
      </c>
      <c r="B16">
        <v>5</v>
      </c>
      <c r="C16">
        <f t="shared" si="0"/>
        <v>48.97</v>
      </c>
    </row>
    <row r="17" spans="1:3" x14ac:dyDescent="0.3">
      <c r="A17">
        <v>301.32</v>
      </c>
      <c r="B17">
        <v>4</v>
      </c>
      <c r="C17">
        <f t="shared" si="0"/>
        <v>39.176000000000002</v>
      </c>
    </row>
    <row r="18" spans="1:3" x14ac:dyDescent="0.3">
      <c r="A18">
        <v>295.8</v>
      </c>
      <c r="B18">
        <v>3</v>
      </c>
      <c r="C18">
        <f t="shared" si="0"/>
        <v>29.382000000000001</v>
      </c>
    </row>
    <row r="19" spans="1:3" x14ac:dyDescent="0.3">
      <c r="A19">
        <v>290.12</v>
      </c>
      <c r="B19">
        <v>2</v>
      </c>
      <c r="C19">
        <f t="shared" si="0"/>
        <v>19.588000000000001</v>
      </c>
    </row>
    <row r="20" spans="1:3" x14ac:dyDescent="0.3">
      <c r="A20">
        <v>284.5</v>
      </c>
      <c r="B20">
        <v>1</v>
      </c>
      <c r="C20">
        <f t="shared" si="0"/>
        <v>9.7940000000000005</v>
      </c>
    </row>
    <row r="21" spans="1:3" x14ac:dyDescent="0.3">
      <c r="A21">
        <v>278.92</v>
      </c>
      <c r="B21">
        <v>0</v>
      </c>
      <c r="C21">
        <f t="shared" si="0"/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70D7-D84E-425C-95B2-1369E9B9312C}">
  <dimension ref="A1:G24"/>
  <sheetViews>
    <sheetView zoomScale="160" zoomScaleNormal="160" workbookViewId="0">
      <selection activeCell="D24" sqref="D24"/>
    </sheetView>
  </sheetViews>
  <sheetFormatPr defaultRowHeight="14" x14ac:dyDescent="0.3"/>
  <cols>
    <col min="3" max="3" width="12.5" bestFit="1" customWidth="1"/>
  </cols>
  <sheetData>
    <row r="1" spans="1:7" x14ac:dyDescent="0.3">
      <c r="A1" t="s">
        <v>3</v>
      </c>
      <c r="B1" t="s">
        <v>4</v>
      </c>
      <c r="C1" t="s">
        <v>5</v>
      </c>
      <c r="E1" t="s">
        <v>3</v>
      </c>
      <c r="F1" t="s">
        <v>9</v>
      </c>
      <c r="G1" t="s">
        <v>10</v>
      </c>
    </row>
    <row r="2" spans="1:7" x14ac:dyDescent="0.3">
      <c r="A2">
        <v>1</v>
      </c>
      <c r="B2">
        <v>7.62</v>
      </c>
      <c r="C2">
        <f>B2/10</f>
        <v>0.76200000000000001</v>
      </c>
      <c r="E2">
        <v>1</v>
      </c>
      <c r="F2">
        <v>14.1</v>
      </c>
      <c r="G2">
        <v>21</v>
      </c>
    </row>
    <row r="3" spans="1:7" x14ac:dyDescent="0.3">
      <c r="A3">
        <v>2</v>
      </c>
      <c r="B3">
        <v>7.6</v>
      </c>
      <c r="C3">
        <f t="shared" ref="C3:C21" si="0">B3/10</f>
        <v>0.76</v>
      </c>
      <c r="E3">
        <v>2</v>
      </c>
      <c r="F3">
        <v>14.2</v>
      </c>
      <c r="G3">
        <v>20.9</v>
      </c>
    </row>
    <row r="4" spans="1:7" x14ac:dyDescent="0.3">
      <c r="A4">
        <v>3</v>
      </c>
      <c r="B4">
        <v>7.6150000000000002</v>
      </c>
      <c r="C4">
        <f t="shared" si="0"/>
        <v>0.76150000000000007</v>
      </c>
      <c r="E4">
        <v>3</v>
      </c>
      <c r="F4">
        <v>14.2</v>
      </c>
      <c r="G4">
        <v>21</v>
      </c>
    </row>
    <row r="5" spans="1:7" x14ac:dyDescent="0.3">
      <c r="A5">
        <v>4</v>
      </c>
      <c r="B5">
        <v>7.62</v>
      </c>
      <c r="C5">
        <f t="shared" si="0"/>
        <v>0.76200000000000001</v>
      </c>
      <c r="E5">
        <v>4</v>
      </c>
      <c r="F5">
        <v>14.1</v>
      </c>
      <c r="G5">
        <v>21</v>
      </c>
    </row>
    <row r="6" spans="1:7" x14ac:dyDescent="0.3">
      <c r="A6">
        <v>5</v>
      </c>
      <c r="B6">
        <v>7.6040000000000001</v>
      </c>
      <c r="C6">
        <f t="shared" si="0"/>
        <v>0.76039999999999996</v>
      </c>
      <c r="E6">
        <v>5</v>
      </c>
      <c r="F6">
        <v>14.1</v>
      </c>
      <c r="G6">
        <v>20.9</v>
      </c>
    </row>
    <row r="7" spans="1:7" x14ac:dyDescent="0.3">
      <c r="A7">
        <v>6</v>
      </c>
      <c r="B7">
        <v>7.6130000000000004</v>
      </c>
      <c r="C7">
        <f t="shared" si="0"/>
        <v>0.76130000000000009</v>
      </c>
      <c r="F7">
        <f>AVERAGE(F2:F6)</f>
        <v>14.14</v>
      </c>
      <c r="G7">
        <f>AVERAGE(G2:G6)</f>
        <v>20.96</v>
      </c>
    </row>
    <row r="8" spans="1:7" x14ac:dyDescent="0.3">
      <c r="A8">
        <v>7</v>
      </c>
      <c r="B8">
        <v>7.6189999999999998</v>
      </c>
      <c r="C8">
        <f t="shared" si="0"/>
        <v>0.76190000000000002</v>
      </c>
    </row>
    <row r="9" spans="1:7" x14ac:dyDescent="0.3">
      <c r="A9">
        <v>8</v>
      </c>
      <c r="B9">
        <v>7.62</v>
      </c>
      <c r="C9">
        <f t="shared" si="0"/>
        <v>0.76200000000000001</v>
      </c>
    </row>
    <row r="10" spans="1:7" x14ac:dyDescent="0.3">
      <c r="A10">
        <v>9</v>
      </c>
      <c r="B10">
        <v>7.61</v>
      </c>
      <c r="C10">
        <f t="shared" si="0"/>
        <v>0.76100000000000001</v>
      </c>
    </row>
    <row r="11" spans="1:7" x14ac:dyDescent="0.3">
      <c r="A11">
        <v>10</v>
      </c>
      <c r="B11">
        <v>7.6120000000000001</v>
      </c>
      <c r="C11">
        <f t="shared" si="0"/>
        <v>0.76119999999999999</v>
      </c>
    </row>
    <row r="12" spans="1:7" x14ac:dyDescent="0.3">
      <c r="A12">
        <v>11</v>
      </c>
      <c r="B12">
        <v>7.6189999999999998</v>
      </c>
      <c r="C12">
        <f t="shared" si="0"/>
        <v>0.76190000000000002</v>
      </c>
    </row>
    <row r="13" spans="1:7" x14ac:dyDescent="0.3">
      <c r="A13">
        <v>12</v>
      </c>
      <c r="B13">
        <v>7.6120000000000001</v>
      </c>
      <c r="C13">
        <f t="shared" si="0"/>
        <v>0.76119999999999999</v>
      </c>
    </row>
    <row r="14" spans="1:7" x14ac:dyDescent="0.3">
      <c r="A14">
        <v>13</v>
      </c>
      <c r="B14">
        <v>7.61</v>
      </c>
      <c r="C14">
        <f t="shared" si="0"/>
        <v>0.76100000000000001</v>
      </c>
    </row>
    <row r="15" spans="1:7" x14ac:dyDescent="0.3">
      <c r="A15">
        <v>14</v>
      </c>
      <c r="B15">
        <v>7.6189999999999998</v>
      </c>
      <c r="C15">
        <f t="shared" si="0"/>
        <v>0.76190000000000002</v>
      </c>
    </row>
    <row r="16" spans="1:7" x14ac:dyDescent="0.3">
      <c r="A16">
        <v>15</v>
      </c>
      <c r="B16">
        <v>7.6139999999999999</v>
      </c>
      <c r="C16">
        <f t="shared" si="0"/>
        <v>0.76139999999999997</v>
      </c>
    </row>
    <row r="17" spans="1:3" x14ac:dyDescent="0.3">
      <c r="A17">
        <v>16</v>
      </c>
      <c r="B17">
        <v>7.609</v>
      </c>
      <c r="C17">
        <f t="shared" si="0"/>
        <v>0.76090000000000002</v>
      </c>
    </row>
    <row r="18" spans="1:3" x14ac:dyDescent="0.3">
      <c r="A18">
        <v>17</v>
      </c>
      <c r="B18">
        <v>7.6120000000000001</v>
      </c>
      <c r="C18">
        <f t="shared" si="0"/>
        <v>0.76119999999999999</v>
      </c>
    </row>
    <row r="19" spans="1:3" x14ac:dyDescent="0.3">
      <c r="A19">
        <v>18</v>
      </c>
      <c r="B19">
        <v>7.6040000000000001</v>
      </c>
      <c r="C19">
        <f t="shared" si="0"/>
        <v>0.76039999999999996</v>
      </c>
    </row>
    <row r="20" spans="1:3" x14ac:dyDescent="0.3">
      <c r="A20">
        <v>19</v>
      </c>
      <c r="B20">
        <v>7.61</v>
      </c>
      <c r="C20">
        <f t="shared" si="0"/>
        <v>0.76100000000000001</v>
      </c>
    </row>
    <row r="21" spans="1:3" x14ac:dyDescent="0.3">
      <c r="A21">
        <v>20</v>
      </c>
      <c r="B21">
        <v>7.6139999999999999</v>
      </c>
      <c r="C21">
        <f t="shared" si="0"/>
        <v>0.76139999999999997</v>
      </c>
    </row>
    <row r="22" spans="1:3" x14ac:dyDescent="0.3">
      <c r="A22" t="s">
        <v>6</v>
      </c>
      <c r="C22">
        <f>AVERAGE(C2:C21)</f>
        <v>0.76128000000000007</v>
      </c>
    </row>
    <row r="23" spans="1:3" x14ac:dyDescent="0.3">
      <c r="A23" t="s">
        <v>7</v>
      </c>
      <c r="C23">
        <f>VAR(C2:C21)</f>
        <v>3.3536842105264295E-7</v>
      </c>
    </row>
    <row r="24" spans="1:3" x14ac:dyDescent="0.3">
      <c r="A24" t="s">
        <v>8</v>
      </c>
      <c r="C24">
        <f>STDEV(C2:C21)</f>
        <v>5.7911002499753267E-4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Lily</dc:creator>
  <cp:lastModifiedBy>White Lily</cp:lastModifiedBy>
  <dcterms:created xsi:type="dcterms:W3CDTF">2025-10-17T08:11:53Z</dcterms:created>
  <dcterms:modified xsi:type="dcterms:W3CDTF">2025-10-17T09:04:30Z</dcterms:modified>
</cp:coreProperties>
</file>